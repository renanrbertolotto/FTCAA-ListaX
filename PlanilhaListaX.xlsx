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 - Ordenação" sheetId="1" r:id="rId4"/>
  </sheets>
  <definedNames/>
  <calcPr/>
  <extLst>
    <ext uri="GoogleSheetsCustomDataVersion2">
      <go:sheetsCustomData xmlns:go="http://customooxmlschemas.google.com/" r:id="rId5" roundtripDataChecksum="XxTkfPyrSHQAB7pPSNHaCSxIZqjRIbXQiT+vCaWIW10="/>
    </ext>
  </extLst>
</workbook>
</file>

<file path=xl/sharedStrings.xml><?xml version="1.0" encoding="utf-8"?>
<sst xmlns="http://schemas.openxmlformats.org/spreadsheetml/2006/main" count="67" uniqueCount="51">
  <si>
    <t>PONTIFÍCIA UNIVERSIDADE CATÓLICA DE CAMPINAS</t>
  </si>
  <si>
    <t>Escola Politénica - Engenharia de Software</t>
  </si>
  <si>
    <t>Fundamentos da Teoria da Computação e Análise de Algoritmos - Professor José Guilherme Picolo</t>
  </si>
  <si>
    <t>ANÁLISE EXPERIMENTAL DOS ALGORITMOS DE ORDENAÇÃO</t>
  </si>
  <si>
    <t>1. Identificação e ambiente de execução</t>
  </si>
  <si>
    <t>Campo</t>
  </si>
  <si>
    <t>Informação</t>
  </si>
  <si>
    <t>Nome do aluno</t>
  </si>
  <si>
    <t>Renan Ribeiro Bertolotto</t>
  </si>
  <si>
    <t>RA</t>
  </si>
  <si>
    <t>Linguagem de programação utilizada</t>
  </si>
  <si>
    <t>Python</t>
  </si>
  <si>
    <t>Sistema operacional</t>
  </si>
  <si>
    <t>Windowns</t>
  </si>
  <si>
    <t>Processador</t>
  </si>
  <si>
    <t>I7 7ºGeração</t>
  </si>
  <si>
    <t>Memória RAM</t>
  </si>
  <si>
    <t>16GB</t>
  </si>
  <si>
    <t>Link do GitHub com os códigos implementados</t>
  </si>
  <si>
    <t>2. Resultados experimentais</t>
  </si>
  <si>
    <t>Algoritmo</t>
  </si>
  <si>
    <t>Complexidade no caso médio</t>
  </si>
  <si>
    <t>Tamanho do vetor</t>
  </si>
  <si>
    <t>Execução 1 (s)</t>
  </si>
  <si>
    <t>Execução 2 (s)</t>
  </si>
  <si>
    <t>Execução 3 (s)</t>
  </si>
  <si>
    <t>Tempo médio (s)</t>
  </si>
  <si>
    <t>Desvio padrão (s)</t>
  </si>
  <si>
    <t>Trocas ou movimentações</t>
  </si>
  <si>
    <t>Bubble Sort</t>
  </si>
  <si>
    <t>O(n²)</t>
  </si>
  <si>
    <t>25,057,735</t>
  </si>
  <si>
    <t>N/C</t>
  </si>
  <si>
    <t>Merge Sort</t>
  </si>
  <si>
    <t xml:space="preserve">O(n log n) </t>
  </si>
  <si>
    <t>1,668,928</t>
  </si>
  <si>
    <t xml:space="preserve">Quick Sort </t>
  </si>
  <si>
    <t>1,029,804</t>
  </si>
  <si>
    <t>Observação: Preencha os tempos das três execuções em segundos. Para algoritmos que não finalizarem em até 5 minutos, registre N/C nas execuções.</t>
  </si>
  <si>
    <t>3. Gráfico comparativo</t>
  </si>
  <si>
    <t>4. Análise dos resultados</t>
  </si>
  <si>
    <t>Pergunta</t>
  </si>
  <si>
    <t>Resposta</t>
  </si>
  <si>
    <t>Os tempos obtidos ficaram coerentes com a complexidade teórica dos algoritmos? Explique.</t>
  </si>
  <si>
    <t>Sim, os resultados são muito coerentes com a teoria. Observe a razão entre os tempos médios de n=1.000 para n=10.000 (aumento de 10×).</t>
  </si>
  <si>
    <t>A quantidade de trocas/movimentações acompanhou o crescimento do tempo de execução? Explique.</t>
  </si>
  <si>
    <t xml:space="preserve">Em geral sim, mas com nuances importantes. O Bubble Sort realizou 237.493 trocas em n=1.000 e 25.057.735 em n=10.000 — razão de ~105×, coerente com O(n²) — e seu tempo de execução cresceu de forma proporcional. O Merge Sort teve mais movimentações que o Quick Sort em todos os tamanhos (ex: 1.668.928 vs 1.029.804 para n=100.000), e de fato foi mais lento que o Quick Sort nos mesmos tamanhos (0,616s vs 0,294s), confirmando a relação. </t>
  </si>
  <si>
    <t>Qual algoritmo apresentou o melhor  e o pior desempenho nos testes realizados?</t>
  </si>
  <si>
    <t xml:space="preserve">Melhor desempenho: Quick Sort. Foi o mais rápido em todos os tamanhos testados - Pior desempenho: Bubble Sort. Além de ser o mais lento nos dois tamanhos que conseguiu completar, não finalizou a execução para n=100.000 dentro do limite de 5 minutos. </t>
  </si>
  <si>
    <t>Algum algoritmo não concluiu a execução dentro do limite de 5 minutos? O que isso indica?</t>
  </si>
  <si>
    <t xml:space="preserve">Sim, o Bubble Sort não concluiu para n=100.000. Isso indica que algoritmos de complexidade O(n²) tornam-se computacionalmente inviáveis conforme o volume de dados cresce.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</si>
</sst>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0">
    <font>
      <sz val="11.0"/>
      <color rgb="FF000000"/>
      <name val="Carlito"/>
      <scheme val="minor"/>
    </font>
    <font>
      <b/>
      <sz val="16.0"/>
      <color rgb="FFFFFFFF"/>
      <name val="Calibri"/>
    </font>
    <font/>
    <font>
      <b/>
      <u/>
      <sz val="16.0"/>
      <color rgb="FFFFFFFF"/>
      <name val="Calibri"/>
    </font>
    <font>
      <sz val="11.0"/>
      <color rgb="FF1F2937"/>
      <name val="Calibri"/>
    </font>
    <font>
      <b/>
      <sz val="12.0"/>
      <color rgb="FFFFFFFF"/>
      <name val="Calibri"/>
    </font>
    <font>
      <b/>
      <sz val="11.0"/>
      <color rgb="FF1F2937"/>
      <name val="Calibri"/>
    </font>
    <font>
      <sz val="11.0"/>
      <color rgb="FFFF0000"/>
      <name val="Calibri"/>
    </font>
    <font>
      <b/>
      <sz val="11.0"/>
      <color rgb="FFFFFFFF"/>
      <name val="Calibri"/>
    </font>
    <font>
      <i/>
      <sz val="11.0"/>
      <color rgb="FF1F2937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3F8FC"/>
        <bgColor rgb="FFF3F8FC"/>
      </patternFill>
    </fill>
    <fill>
      <patternFill patternType="solid">
        <fgColor rgb="FFF2F2F2"/>
        <bgColor rgb="FFF2F2F2"/>
      </patternFill>
    </fill>
  </fills>
  <borders count="23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B7C9D6"/>
      </left>
      <right/>
      <top style="thin">
        <color rgb="FFB7C9D6"/>
      </top>
      <bottom/>
    </border>
    <border>
      <left style="thin">
        <color rgb="FFB7C9D6"/>
      </left>
    </border>
    <border>
      <right style="thin">
        <color rgb="FFB7C9D6"/>
      </right>
    </border>
    <border>
      <left/>
      <right/>
      <top style="thin">
        <color rgb="FFB7C9D6"/>
      </top>
      <bottom/>
    </border>
    <border>
      <left style="thin">
        <color rgb="FFB7C9D6"/>
      </left>
      <right/>
      <top/>
      <bottom/>
    </border>
    <border>
      <left/>
      <right/>
      <top/>
      <bottom/>
    </border>
    <border>
      <left style="thin">
        <color rgb="FFB7C9D6"/>
      </left>
      <right/>
      <top/>
      <bottom style="thin">
        <color rgb="FFB7C9D6"/>
      </bottom>
    </border>
    <border>
      <left/>
      <right/>
      <top/>
      <bottom style="thin">
        <color rgb="FFB7C9D6"/>
      </bottom>
    </border>
    <border>
      <left style="thin">
        <color rgb="FFB7C9D6"/>
      </left>
      <top style="thin">
        <color rgb="FFB7C9D6"/>
      </top>
      <bottom/>
    </border>
    <border>
      <top style="thin">
        <color rgb="FFB7C9D6"/>
      </top>
      <bottom/>
    </border>
    <border>
      <right/>
      <top style="thin">
        <color rgb="FFB7C9D6"/>
      </top>
      <bottom/>
    </border>
    <border>
      <right style="thin">
        <color rgb="FFB7C9D6"/>
      </right>
      <top style="thin">
        <color rgb="FFB7C9D6"/>
      </top>
      <bottom/>
    </border>
    <border>
      <left/>
      <top style="thin">
        <color rgb="FFB7C9D6"/>
      </top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0" fillId="0" fontId="4" numFmtId="0" xfId="0" applyAlignment="1" applyFont="1">
      <alignment shrinkToFit="0" wrapText="1"/>
    </xf>
    <xf borderId="1" fillId="3" fontId="5" numFmtId="0" xfId="0" applyAlignment="1" applyBorder="1" applyFill="1" applyFont="1">
      <alignment horizontal="left" shrinkToFit="0" vertical="center" wrapText="1"/>
    </xf>
    <xf borderId="10" fillId="4" fontId="6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shrinkToFit="0" wrapText="1"/>
    </xf>
    <xf borderId="0" fillId="0" fontId="7" numFmtId="0" xfId="0" applyAlignment="1" applyFont="1">
      <alignment horizontal="left" readingOrder="0" shrinkToFit="0" vertical="top" wrapText="1"/>
    </xf>
    <xf borderId="12" fillId="0" fontId="2" numFmtId="0" xfId="0" applyBorder="1" applyFont="1"/>
    <xf borderId="0" fillId="0" fontId="7" numFmtId="0" xfId="0" applyAlignment="1" applyFont="1">
      <alignment horizontal="left" shrinkToFit="0" vertical="top" wrapText="1"/>
    </xf>
    <xf borderId="10" fillId="2" fontId="8" numFmtId="0" xfId="0" applyAlignment="1" applyBorder="1" applyFont="1">
      <alignment horizontal="center" shrinkToFit="0" vertical="center" wrapText="1"/>
    </xf>
    <xf borderId="13" fillId="2" fontId="8" numFmtId="0" xfId="0" applyAlignment="1" applyBorder="1" applyFont="1">
      <alignment horizontal="center" shrinkToFit="0" vertical="center" wrapText="1"/>
    </xf>
    <xf borderId="14" fillId="5" fontId="4" numFmtId="0" xfId="0" applyAlignment="1" applyBorder="1" applyFill="1" applyFont="1">
      <alignment shrinkToFit="0" vertical="top" wrapText="1"/>
    </xf>
    <xf borderId="15" fillId="5" fontId="4" numFmtId="0" xfId="0" applyAlignment="1" applyBorder="1" applyFont="1">
      <alignment shrinkToFit="0" vertical="top" wrapText="1"/>
    </xf>
    <xf borderId="15" fillId="5" fontId="4" numFmtId="3" xfId="0" applyAlignment="1" applyBorder="1" applyFont="1" applyNumberFormat="1">
      <alignment horizontal="center" shrinkToFit="0" vertical="top" wrapText="1"/>
    </xf>
    <xf borderId="15" fillId="5" fontId="4" numFmtId="164" xfId="0" applyAlignment="1" applyBorder="1" applyFont="1" applyNumberFormat="1">
      <alignment horizontal="center" shrinkToFit="0" vertical="top" wrapText="1"/>
    </xf>
    <xf borderId="15" fillId="6" fontId="4" numFmtId="164" xfId="0" applyAlignment="1" applyBorder="1" applyFill="1" applyFont="1" applyNumberFormat="1">
      <alignment horizontal="center" shrinkToFit="0" vertical="center" wrapText="1"/>
    </xf>
    <xf borderId="15" fillId="5" fontId="4" numFmtId="0" xfId="0" applyAlignment="1" applyBorder="1" applyFont="1">
      <alignment horizontal="right" shrinkToFit="0" vertical="top" wrapText="1"/>
    </xf>
    <xf borderId="16" fillId="5" fontId="4" numFmtId="0" xfId="0" applyAlignment="1" applyBorder="1" applyFont="1">
      <alignment shrinkToFit="0" vertical="top" wrapText="1"/>
    </xf>
    <xf borderId="17" fillId="5" fontId="4" numFmtId="3" xfId="0" applyAlignment="1" applyBorder="1" applyFont="1" applyNumberFormat="1">
      <alignment horizontal="center" shrinkToFit="0" vertical="top" wrapText="1"/>
    </xf>
    <xf borderId="18" fillId="7" fontId="9" numFmtId="0" xfId="0" applyAlignment="1" applyBorder="1" applyFill="1" applyFont="1">
      <alignment horizontal="center" shrinkToFit="0" vertical="center" wrapText="1"/>
    </xf>
    <xf borderId="19" fillId="0" fontId="2" numFmtId="0" xfId="0" applyBorder="1" applyFont="1"/>
    <xf borderId="20" fillId="0" fontId="2" numFmtId="0" xfId="0" applyBorder="1" applyFont="1"/>
    <xf borderId="18" fillId="4" fontId="6" numFmtId="0" xfId="0" applyAlignment="1" applyBorder="1" applyFont="1">
      <alignment horizontal="center" shrinkToFit="0" vertical="center" wrapText="1"/>
    </xf>
    <xf borderId="21" fillId="0" fontId="2" numFmtId="0" xfId="0" applyBorder="1" applyFont="1"/>
    <xf borderId="15" fillId="6" fontId="4" numFmtId="0" xfId="0" applyAlignment="1" applyBorder="1" applyFont="1">
      <alignment shrinkToFit="0" wrapText="1"/>
    </xf>
    <xf borderId="10" fillId="2" fontId="8" numFmtId="0" xfId="0" applyAlignment="1" applyBorder="1" applyFont="1">
      <alignment horizontal="center" shrinkToFit="0" vertical="center" wrapText="1"/>
    </xf>
    <xf borderId="22" fillId="2" fontId="8" numFmtId="0" xfId="0" applyAlignment="1" applyBorder="1" applyFont="1">
      <alignment horizontal="center" shrinkToFit="0" vertical="center" wrapText="1"/>
    </xf>
    <xf borderId="14" fillId="8" fontId="6" numFmtId="0" xfId="0" applyAlignment="1" applyBorder="1" applyFill="1" applyFont="1">
      <alignment shrinkToFit="0" vertical="top" wrapText="1"/>
    </xf>
    <xf borderId="1" fillId="5" fontId="7" numFmtId="0" xfId="0" applyAlignment="1" applyBorder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Resultados - Ordenaçã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Execuções x Algoritimo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Tamanho do vetor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'Resultados - Ordenação'!$A$19:$A$27</c:f>
            </c:strRef>
          </c:cat>
          <c:val>
            <c:numRef>
              <c:f>'Resultados - Ordenação'!$C$19:$C$27</c:f>
              <c:numCache/>
            </c:numRef>
          </c:val>
        </c:ser>
        <c:ser>
          <c:idx val="1"/>
          <c:order val="1"/>
          <c:tx>
            <c:v>Execução 1 (s)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'Resultados - Ordenação'!$A$19:$A$27</c:f>
            </c:strRef>
          </c:cat>
          <c:val>
            <c:numRef>
              <c:f>'Resultados - Ordenação'!$D$19:$D$27</c:f>
              <c:numCache/>
            </c:numRef>
          </c:val>
        </c:ser>
        <c:ser>
          <c:idx val="2"/>
          <c:order val="2"/>
          <c:tx>
            <c:v>Execução 2 (s)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'Resultados - Ordenação'!$A$19:$A$27</c:f>
            </c:strRef>
          </c:cat>
          <c:val>
            <c:numRef>
              <c:f>'Resultados - Ordenação'!$E$19:$E$27</c:f>
              <c:numCache/>
            </c:numRef>
          </c:val>
        </c:ser>
        <c:ser>
          <c:idx val="3"/>
          <c:order val="3"/>
          <c:tx>
            <c:v>Execução 3 (s)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'Resultados - Ordenação'!$A$19:$A$27</c:f>
            </c:strRef>
          </c:cat>
          <c:val>
            <c:numRef>
              <c:f>'Resultados - Ordenação'!$F$19:$F$27</c:f>
              <c:numCache/>
            </c:numRef>
          </c:val>
        </c:ser>
        <c:ser>
          <c:idx val="4"/>
          <c:order val="4"/>
          <c:tx>
            <c:v>Tempo médio (s)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'Resultados - Ordenação'!$A$19:$A$27</c:f>
            </c:strRef>
          </c:cat>
          <c:val>
            <c:numRef>
              <c:f>'Resultados - Ordenação'!$G$19:$G$27</c:f>
              <c:numCache/>
            </c:numRef>
          </c:val>
        </c:ser>
        <c:ser>
          <c:idx val="5"/>
          <c:order val="5"/>
          <c:tx>
            <c:v>Desvio padrão (s)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'Resultados - Ordenação'!$A$19:$A$27</c:f>
            </c:strRef>
          </c:cat>
          <c:val>
            <c:numRef>
              <c:f>'Resultados - Ordenação'!$H$19:$H$27</c:f>
              <c:numCache/>
            </c:numRef>
          </c:val>
        </c:ser>
        <c:ser>
          <c:idx val="6"/>
          <c:order val="6"/>
          <c:tx>
            <c:v>Trocas ou movimentações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'Resultados - Ordenação'!$A$19:$A$27</c:f>
            </c:strRef>
          </c:cat>
          <c:val>
            <c:numRef>
              <c:f>'Resultados - Ordenação'!$I$19:$I$27</c:f>
              <c:numCache/>
            </c:numRef>
          </c:val>
        </c:ser>
        <c:axId val="1511851762"/>
        <c:axId val="1098150602"/>
      </c:barChart>
      <c:catAx>
        <c:axId val="1511851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098150602"/>
      </c:catAx>
      <c:valAx>
        <c:axId val="10981506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51185176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1419225</xdr:colOff>
      <xdr:row>33</xdr:row>
      <xdr:rowOff>28575</xdr:rowOff>
    </xdr:from>
    <xdr:ext cx="8963025" cy="2314575"/>
    <xdr:graphicFrame>
      <xdr:nvGraphicFramePr>
        <xdr:cNvPr id="29387985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8:I27" displayName="Table_1" name="Table_1" id="1">
  <tableColumns count="9">
    <tableColumn name="Algoritmo" id="1"/>
    <tableColumn name="Complexidade no caso médio" id="2"/>
    <tableColumn name="Tamanho do vetor" id="3"/>
    <tableColumn name="Execução 1 (s)" id="4"/>
    <tableColumn name="Execução 2 (s)" id="5"/>
    <tableColumn name="Execução 3 (s)" id="6"/>
    <tableColumn name="Tempo médio (s)" id="7"/>
    <tableColumn name="Desvio padrão (s)" id="8"/>
    <tableColumn name="Trocas ou movimentações" id="9"/>
  </tableColumns>
  <tableStyleInfo name="Resultados - Ordenaçã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22.0"/>
    <col customWidth="1" min="3" max="3" width="24.0"/>
    <col customWidth="1" min="4" max="5" width="16.0"/>
    <col customWidth="1" min="6" max="8" width="14.0"/>
    <col customWidth="1" min="9" max="9" width="18.0"/>
    <col customWidth="1" min="10" max="26" width="8.6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3"/>
    </row>
    <row r="3" ht="14.25" customHeight="1">
      <c r="A3" s="1" t="s">
        <v>2</v>
      </c>
      <c r="B3" s="2"/>
      <c r="C3" s="2"/>
      <c r="D3" s="2"/>
      <c r="E3" s="2"/>
      <c r="F3" s="2"/>
      <c r="G3" s="2"/>
      <c r="H3" s="2"/>
      <c r="I3" s="3"/>
    </row>
    <row r="4" ht="21.0" customHeight="1">
      <c r="A4" s="4" t="s">
        <v>3</v>
      </c>
      <c r="B4" s="5"/>
      <c r="C4" s="5"/>
      <c r="D4" s="5"/>
      <c r="E4" s="5"/>
      <c r="F4" s="5"/>
      <c r="G4" s="5"/>
      <c r="H4" s="5"/>
      <c r="I4" s="6"/>
    </row>
    <row r="5" ht="30.0" customHeight="1">
      <c r="A5" s="7"/>
      <c r="B5" s="8"/>
      <c r="C5" s="8"/>
      <c r="D5" s="8"/>
      <c r="E5" s="8"/>
      <c r="F5" s="8"/>
      <c r="G5" s="8"/>
      <c r="H5" s="8"/>
      <c r="I5" s="9"/>
    </row>
    <row r="6" ht="14.25" customHeight="1">
      <c r="A6" s="10"/>
      <c r="B6" s="10"/>
      <c r="C6" s="10"/>
      <c r="D6" s="10"/>
      <c r="E6" s="10"/>
      <c r="F6" s="10"/>
      <c r="G6" s="10"/>
      <c r="H6" s="10"/>
      <c r="I6" s="10"/>
    </row>
    <row r="7" ht="24.0" customHeight="1">
      <c r="A7" s="11" t="s">
        <v>4</v>
      </c>
      <c r="B7" s="2"/>
      <c r="C7" s="2"/>
      <c r="D7" s="2"/>
      <c r="E7" s="2"/>
      <c r="F7" s="2"/>
      <c r="G7" s="2"/>
      <c r="H7" s="2"/>
      <c r="I7" s="3"/>
    </row>
    <row r="8" ht="14.25" customHeight="1">
      <c r="A8" s="12" t="s">
        <v>5</v>
      </c>
      <c r="B8" s="13" t="s">
        <v>6</v>
      </c>
      <c r="C8" s="2"/>
      <c r="D8" s="2"/>
      <c r="E8" s="2"/>
      <c r="F8" s="2"/>
      <c r="G8" s="2"/>
      <c r="H8" s="2"/>
      <c r="I8" s="3"/>
    </row>
    <row r="9" ht="14.25" customHeight="1">
      <c r="A9" s="14" t="s">
        <v>7</v>
      </c>
      <c r="B9" s="15" t="s">
        <v>8</v>
      </c>
      <c r="I9" s="16"/>
    </row>
    <row r="10" ht="14.25" customHeight="1">
      <c r="A10" s="14" t="s">
        <v>9</v>
      </c>
      <c r="B10" s="15">
        <v>2.4015116E7</v>
      </c>
      <c r="I10" s="16"/>
    </row>
    <row r="11" ht="14.25" customHeight="1">
      <c r="A11" s="14" t="s">
        <v>10</v>
      </c>
      <c r="B11" s="17" t="s">
        <v>11</v>
      </c>
      <c r="I11" s="16"/>
    </row>
    <row r="12" ht="14.25" customHeight="1">
      <c r="A12" s="14" t="s">
        <v>12</v>
      </c>
      <c r="B12" s="17" t="s">
        <v>13</v>
      </c>
      <c r="I12" s="16"/>
    </row>
    <row r="13" ht="14.25" customHeight="1">
      <c r="A13" s="14" t="s">
        <v>14</v>
      </c>
      <c r="B13" s="17" t="s">
        <v>15</v>
      </c>
      <c r="I13" s="16"/>
    </row>
    <row r="14" ht="14.25" customHeight="1">
      <c r="A14" s="14" t="s">
        <v>16</v>
      </c>
      <c r="B14" s="17" t="s">
        <v>17</v>
      </c>
      <c r="I14" s="16"/>
    </row>
    <row r="15" ht="14.25" customHeight="1">
      <c r="A15" s="14" t="s">
        <v>18</v>
      </c>
      <c r="B15" s="17"/>
      <c r="I15" s="16"/>
    </row>
    <row r="16" ht="14.25" customHeight="1">
      <c r="A16" s="10"/>
      <c r="B16" s="10"/>
      <c r="C16" s="10"/>
      <c r="D16" s="10"/>
      <c r="E16" s="10"/>
      <c r="F16" s="10"/>
      <c r="G16" s="10"/>
      <c r="H16" s="10"/>
      <c r="I16" s="10"/>
    </row>
    <row r="17" ht="24.0" customHeight="1">
      <c r="A17" s="11" t="s">
        <v>19</v>
      </c>
      <c r="B17" s="2"/>
      <c r="C17" s="2"/>
      <c r="D17" s="2"/>
      <c r="E17" s="2"/>
      <c r="F17" s="2"/>
      <c r="G17" s="2"/>
      <c r="H17" s="2"/>
      <c r="I17" s="3"/>
    </row>
    <row r="18" ht="42.0" customHeight="1">
      <c r="A18" s="18" t="s">
        <v>20</v>
      </c>
      <c r="B18" s="19" t="s">
        <v>21</v>
      </c>
      <c r="C18" s="19" t="s">
        <v>22</v>
      </c>
      <c r="D18" s="19" t="s">
        <v>23</v>
      </c>
      <c r="E18" s="19" t="s">
        <v>24</v>
      </c>
      <c r="F18" s="19" t="s">
        <v>25</v>
      </c>
      <c r="G18" s="19" t="s">
        <v>26</v>
      </c>
      <c r="H18" s="19" t="s">
        <v>27</v>
      </c>
      <c r="I18" s="19" t="s">
        <v>28</v>
      </c>
    </row>
    <row r="19" ht="37.5" customHeight="1">
      <c r="A19" s="20" t="s">
        <v>29</v>
      </c>
      <c r="B19" s="21" t="s">
        <v>30</v>
      </c>
      <c r="C19" s="22">
        <v>1000.0</v>
      </c>
      <c r="D19" s="23">
        <v>0.070613</v>
      </c>
      <c r="E19" s="23">
        <v>0.100372</v>
      </c>
      <c r="F19" s="23">
        <v>0.068862</v>
      </c>
      <c r="G19" s="24">
        <f t="shared" ref="G19:G27" si="1">IF(COUNT(D19:F19)=0,"",AVERAGE(D19:F19))</f>
        <v>0.079949</v>
      </c>
      <c r="H19" s="24">
        <f t="shared" ref="H19:H27" si="2">IF(COUNT(D19:F19)&lt;2,"",_xlfn.STDEV.S(D19:F19))</f>
        <v>0.01770849223</v>
      </c>
      <c r="I19" s="21">
        <v>237.493</v>
      </c>
    </row>
    <row r="20" ht="37.5" customHeight="1">
      <c r="A20" s="20" t="s">
        <v>29</v>
      </c>
      <c r="B20" s="21" t="s">
        <v>30</v>
      </c>
      <c r="C20" s="22">
        <v>10000.0</v>
      </c>
      <c r="D20" s="23">
        <v>6849119.0</v>
      </c>
      <c r="E20" s="23">
        <v>6416385.0</v>
      </c>
      <c r="F20" s="23">
        <v>6242376.0</v>
      </c>
      <c r="G20" s="24">
        <f t="shared" si="1"/>
        <v>6502626.667</v>
      </c>
      <c r="H20" s="24">
        <f t="shared" si="2"/>
        <v>312429.9695</v>
      </c>
      <c r="I20" s="25" t="s">
        <v>31</v>
      </c>
    </row>
    <row r="21" ht="37.5" customHeight="1">
      <c r="A21" s="20" t="s">
        <v>29</v>
      </c>
      <c r="B21" s="21" t="s">
        <v>30</v>
      </c>
      <c r="C21" s="22">
        <v>100000.0</v>
      </c>
      <c r="D21" s="23" t="s">
        <v>32</v>
      </c>
      <c r="E21" s="23" t="s">
        <v>32</v>
      </c>
      <c r="F21" s="23" t="s">
        <v>32</v>
      </c>
      <c r="G21" s="24" t="str">
        <f t="shared" si="1"/>
        <v/>
      </c>
      <c r="H21" s="24" t="str">
        <f t="shared" si="2"/>
        <v/>
      </c>
      <c r="I21" s="23" t="s">
        <v>32</v>
      </c>
    </row>
    <row r="22" ht="37.5" customHeight="1">
      <c r="A22" s="20" t="s">
        <v>33</v>
      </c>
      <c r="B22" s="21" t="s">
        <v>34</v>
      </c>
      <c r="C22" s="22">
        <v>1000.0</v>
      </c>
      <c r="D22" s="23">
        <v>0.002384</v>
      </c>
      <c r="E22" s="23">
        <v>0.003351</v>
      </c>
      <c r="F22" s="23">
        <v>0.004158</v>
      </c>
      <c r="G22" s="24">
        <f t="shared" si="1"/>
        <v>0.003297666667</v>
      </c>
      <c r="H22" s="24">
        <f t="shared" si="2"/>
        <v>0.0008882017413</v>
      </c>
      <c r="I22" s="25">
        <v>9.976</v>
      </c>
    </row>
    <row r="23" ht="37.5" customHeight="1">
      <c r="A23" s="20" t="s">
        <v>33</v>
      </c>
      <c r="B23" s="21" t="s">
        <v>34</v>
      </c>
      <c r="C23" s="22">
        <v>10000.0</v>
      </c>
      <c r="D23" s="23">
        <v>0.037652</v>
      </c>
      <c r="E23" s="23">
        <v>0.048357</v>
      </c>
      <c r="F23" s="23">
        <v>0.038675</v>
      </c>
      <c r="G23" s="24">
        <f t="shared" si="1"/>
        <v>0.04156133333</v>
      </c>
      <c r="H23" s="24">
        <f t="shared" si="2"/>
        <v>0.005907406058</v>
      </c>
      <c r="I23" s="25">
        <v>133.616</v>
      </c>
    </row>
    <row r="24" ht="37.5" customHeight="1">
      <c r="A24" s="20" t="s">
        <v>33</v>
      </c>
      <c r="B24" s="21" t="s">
        <v>34</v>
      </c>
      <c r="C24" s="22">
        <v>100000.0</v>
      </c>
      <c r="D24" s="23">
        <v>0.566017</v>
      </c>
      <c r="E24" s="23">
        <v>0.64853</v>
      </c>
      <c r="F24" s="23">
        <v>0.633555</v>
      </c>
      <c r="G24" s="24">
        <f t="shared" si="1"/>
        <v>0.616034</v>
      </c>
      <c r="H24" s="24">
        <f t="shared" si="2"/>
        <v>0.04395836522</v>
      </c>
      <c r="I24" s="25" t="s">
        <v>35</v>
      </c>
    </row>
    <row r="25" ht="37.5" customHeight="1">
      <c r="A25" s="20" t="s">
        <v>36</v>
      </c>
      <c r="B25" s="21" t="s">
        <v>34</v>
      </c>
      <c r="C25" s="22">
        <v>1000.0</v>
      </c>
      <c r="D25" s="23">
        <v>0.002609</v>
      </c>
      <c r="E25" s="23">
        <v>0.001398</v>
      </c>
      <c r="F25" s="23">
        <v>0.001395</v>
      </c>
      <c r="G25" s="24">
        <f t="shared" si="1"/>
        <v>0.001800666667</v>
      </c>
      <c r="H25" s="24">
        <f t="shared" si="2"/>
        <v>0.0007000388084</v>
      </c>
      <c r="I25" s="25">
        <v>5.718</v>
      </c>
    </row>
    <row r="26" ht="37.5" customHeight="1">
      <c r="A26" s="20" t="s">
        <v>36</v>
      </c>
      <c r="B26" s="21" t="s">
        <v>34</v>
      </c>
      <c r="C26" s="22">
        <v>10000.0</v>
      </c>
      <c r="D26" s="23">
        <v>0.018706</v>
      </c>
      <c r="E26" s="23">
        <v>0.022533</v>
      </c>
      <c r="F26" s="23">
        <v>0.018523</v>
      </c>
      <c r="G26" s="24">
        <f t="shared" si="1"/>
        <v>0.01992066667</v>
      </c>
      <c r="H26" s="24">
        <f t="shared" si="2"/>
        <v>0.00226419662</v>
      </c>
      <c r="I26" s="25">
        <v>90.389</v>
      </c>
    </row>
    <row r="27" ht="37.5" customHeight="1">
      <c r="A27" s="26" t="s">
        <v>36</v>
      </c>
      <c r="B27" s="21" t="s">
        <v>34</v>
      </c>
      <c r="C27" s="27">
        <v>100000.0</v>
      </c>
      <c r="D27" s="23">
        <v>0.278006</v>
      </c>
      <c r="E27" s="23">
        <v>0.32613</v>
      </c>
      <c r="F27" s="23">
        <v>0.277341</v>
      </c>
      <c r="G27" s="24">
        <f t="shared" si="1"/>
        <v>0.2938256667</v>
      </c>
      <c r="H27" s="24">
        <f t="shared" si="2"/>
        <v>0.02797834914</v>
      </c>
      <c r="I27" s="25" t="s">
        <v>37</v>
      </c>
    </row>
    <row r="28" ht="14.25" customHeight="1">
      <c r="A28" s="10"/>
      <c r="B28" s="10"/>
      <c r="C28" s="10"/>
      <c r="D28" s="10"/>
      <c r="E28" s="10"/>
      <c r="F28" s="10"/>
      <c r="G28" s="10"/>
      <c r="H28" s="10"/>
      <c r="I28" s="10"/>
    </row>
    <row r="29" ht="36.0" customHeight="1">
      <c r="A29" s="28" t="s">
        <v>38</v>
      </c>
      <c r="B29" s="29"/>
      <c r="C29" s="29"/>
      <c r="D29" s="29"/>
      <c r="E29" s="29"/>
      <c r="F29" s="29"/>
      <c r="G29" s="29"/>
      <c r="H29" s="29"/>
      <c r="I29" s="30"/>
    </row>
    <row r="30" ht="14.25" customHeight="1">
      <c r="A30" s="10"/>
      <c r="B30" s="10"/>
      <c r="C30" s="10"/>
      <c r="D30" s="10"/>
      <c r="E30" s="10"/>
      <c r="F30" s="10"/>
      <c r="G30" s="10"/>
      <c r="H30" s="10"/>
      <c r="I30" s="10"/>
    </row>
    <row r="31" ht="24.0" customHeight="1">
      <c r="A31" s="11" t="s">
        <v>39</v>
      </c>
      <c r="B31" s="2"/>
      <c r="C31" s="2"/>
      <c r="D31" s="2"/>
      <c r="E31" s="2"/>
      <c r="F31" s="2"/>
      <c r="G31" s="2"/>
      <c r="H31" s="2"/>
      <c r="I31" s="3"/>
    </row>
    <row r="32" ht="15.0" customHeight="1">
      <c r="A32" s="31"/>
      <c r="B32" s="29"/>
      <c r="C32" s="29"/>
      <c r="D32" s="29"/>
      <c r="E32" s="29"/>
      <c r="F32" s="29"/>
      <c r="G32" s="29"/>
      <c r="H32" s="29"/>
      <c r="I32" s="32"/>
    </row>
    <row r="33" ht="15.0" customHeight="1">
      <c r="A33" s="33"/>
      <c r="B33" s="33"/>
      <c r="C33" s="33"/>
      <c r="D33" s="33"/>
      <c r="E33" s="33"/>
      <c r="F33" s="33"/>
      <c r="G33" s="33"/>
      <c r="H33" s="33"/>
      <c r="I33" s="33"/>
    </row>
    <row r="34" ht="15.0" customHeight="1">
      <c r="A34" s="33"/>
      <c r="B34" s="33"/>
      <c r="C34" s="33"/>
      <c r="D34" s="33"/>
      <c r="E34" s="33"/>
      <c r="F34" s="33"/>
      <c r="G34" s="33"/>
      <c r="H34" s="33"/>
      <c r="I34" s="33"/>
    </row>
    <row r="35" ht="15.0" customHeight="1">
      <c r="A35" s="33"/>
      <c r="B35" s="33"/>
      <c r="C35" s="33"/>
      <c r="D35" s="33"/>
      <c r="E35" s="33"/>
      <c r="F35" s="33"/>
      <c r="G35" s="33"/>
      <c r="H35" s="33"/>
      <c r="I35" s="33"/>
    </row>
    <row r="36" ht="15.0" customHeight="1">
      <c r="A36" s="33"/>
      <c r="B36" s="33"/>
      <c r="C36" s="33"/>
      <c r="D36" s="33"/>
      <c r="E36" s="33"/>
      <c r="F36" s="33"/>
      <c r="G36" s="33"/>
      <c r="H36" s="33"/>
      <c r="I36" s="33"/>
    </row>
    <row r="37" ht="15.0" customHeight="1">
      <c r="A37" s="33"/>
      <c r="B37" s="33"/>
      <c r="C37" s="33"/>
      <c r="D37" s="33"/>
      <c r="E37" s="33"/>
      <c r="F37" s="33"/>
      <c r="G37" s="33"/>
      <c r="H37" s="33"/>
      <c r="I37" s="33"/>
    </row>
    <row r="38" ht="15.0" customHeight="1">
      <c r="A38" s="33"/>
      <c r="B38" s="33"/>
      <c r="C38" s="33"/>
      <c r="D38" s="33"/>
      <c r="E38" s="33"/>
      <c r="F38" s="33"/>
      <c r="G38" s="33"/>
      <c r="H38" s="33"/>
      <c r="I38" s="33"/>
    </row>
    <row r="39" ht="15.0" customHeight="1">
      <c r="A39" s="33"/>
      <c r="B39" s="33"/>
      <c r="C39" s="33"/>
      <c r="D39" s="33"/>
      <c r="E39" s="33"/>
      <c r="F39" s="33"/>
      <c r="G39" s="33"/>
      <c r="H39" s="33"/>
      <c r="I39" s="33"/>
    </row>
    <row r="40" ht="15.0" customHeight="1">
      <c r="A40" s="33"/>
      <c r="B40" s="33"/>
      <c r="C40" s="33"/>
      <c r="D40" s="33"/>
      <c r="E40" s="33"/>
      <c r="F40" s="33"/>
      <c r="G40" s="33"/>
      <c r="H40" s="33"/>
      <c r="I40" s="33"/>
    </row>
    <row r="41" ht="15.0" customHeight="1">
      <c r="A41" s="33"/>
      <c r="B41" s="33"/>
      <c r="C41" s="33"/>
      <c r="D41" s="33"/>
      <c r="E41" s="33"/>
      <c r="F41" s="33"/>
      <c r="G41" s="33"/>
      <c r="H41" s="33"/>
      <c r="I41" s="33"/>
    </row>
    <row r="42" ht="15.0" customHeight="1">
      <c r="A42" s="33"/>
      <c r="B42" s="33"/>
      <c r="C42" s="33"/>
      <c r="D42" s="33"/>
      <c r="E42" s="33"/>
      <c r="F42" s="33"/>
      <c r="G42" s="33"/>
      <c r="H42" s="33"/>
      <c r="I42" s="33"/>
    </row>
    <row r="43" ht="15.0" customHeight="1">
      <c r="A43" s="33"/>
      <c r="B43" s="33"/>
      <c r="C43" s="33"/>
      <c r="D43" s="33"/>
      <c r="E43" s="33"/>
      <c r="F43" s="33"/>
      <c r="G43" s="33"/>
      <c r="H43" s="33"/>
      <c r="I43" s="33"/>
    </row>
    <row r="44" ht="15.0" customHeight="1">
      <c r="A44" s="33"/>
      <c r="B44" s="33"/>
      <c r="C44" s="33"/>
      <c r="D44" s="33"/>
      <c r="E44" s="33"/>
      <c r="F44" s="33"/>
      <c r="G44" s="33"/>
      <c r="H44" s="33"/>
      <c r="I44" s="33"/>
    </row>
    <row r="45" ht="15.0" customHeight="1">
      <c r="A45" s="33"/>
      <c r="B45" s="33"/>
      <c r="C45" s="33"/>
      <c r="D45" s="33"/>
      <c r="E45" s="33"/>
      <c r="F45" s="33"/>
      <c r="G45" s="33"/>
      <c r="H45" s="33"/>
      <c r="I45" s="33"/>
    </row>
    <row r="46" ht="14.25" customHeight="1">
      <c r="A46" s="33"/>
      <c r="B46" s="33"/>
      <c r="C46" s="33"/>
      <c r="D46" s="33"/>
      <c r="E46" s="33"/>
      <c r="F46" s="33"/>
      <c r="G46" s="33"/>
      <c r="H46" s="33"/>
      <c r="I46" s="33"/>
    </row>
    <row r="47" ht="24.0" customHeight="1">
      <c r="A47" s="11" t="s">
        <v>40</v>
      </c>
      <c r="B47" s="2"/>
      <c r="C47" s="2"/>
      <c r="D47" s="2"/>
      <c r="E47" s="2"/>
      <c r="F47" s="2"/>
      <c r="G47" s="2"/>
      <c r="H47" s="2"/>
      <c r="I47" s="3"/>
    </row>
    <row r="48" ht="14.25" customHeight="1">
      <c r="A48" s="34" t="s">
        <v>41</v>
      </c>
      <c r="B48" s="35" t="s">
        <v>42</v>
      </c>
      <c r="C48" s="29"/>
      <c r="D48" s="29"/>
      <c r="E48" s="29"/>
      <c r="F48" s="29"/>
      <c r="G48" s="29"/>
      <c r="H48" s="29"/>
      <c r="I48" s="30"/>
    </row>
    <row r="49" ht="63.75" customHeight="1">
      <c r="A49" s="36" t="s">
        <v>43</v>
      </c>
      <c r="B49" s="37" t="s">
        <v>44</v>
      </c>
      <c r="C49" s="2"/>
      <c r="D49" s="2"/>
      <c r="E49" s="2"/>
      <c r="F49" s="2"/>
      <c r="G49" s="2"/>
      <c r="H49" s="2"/>
      <c r="I49" s="3"/>
    </row>
    <row r="50" ht="63.75" customHeight="1">
      <c r="A50" s="36" t="s">
        <v>45</v>
      </c>
      <c r="B50" s="37" t="s">
        <v>46</v>
      </c>
      <c r="C50" s="2"/>
      <c r="D50" s="2"/>
      <c r="E50" s="2"/>
      <c r="F50" s="2"/>
      <c r="G50" s="2"/>
      <c r="H50" s="2"/>
      <c r="I50" s="3"/>
    </row>
    <row r="51" ht="63.75" customHeight="1">
      <c r="A51" s="36" t="s">
        <v>47</v>
      </c>
      <c r="B51" s="37" t="s">
        <v>48</v>
      </c>
      <c r="C51" s="2"/>
      <c r="D51" s="2"/>
      <c r="E51" s="2"/>
      <c r="F51" s="2"/>
      <c r="G51" s="2"/>
      <c r="H51" s="2"/>
      <c r="I51" s="3"/>
    </row>
    <row r="52" ht="63.75" customHeight="1">
      <c r="A52" s="36" t="s">
        <v>49</v>
      </c>
      <c r="B52" s="37" t="s">
        <v>50</v>
      </c>
      <c r="C52" s="2"/>
      <c r="D52" s="2"/>
      <c r="E52" s="2"/>
      <c r="F52" s="2"/>
      <c r="G52" s="2"/>
      <c r="H52" s="2"/>
      <c r="I52" s="3"/>
    </row>
    <row r="53" ht="14.25" customHeight="1">
      <c r="A53" s="10"/>
      <c r="B53" s="10"/>
      <c r="C53" s="10"/>
      <c r="D53" s="10"/>
      <c r="E53" s="10"/>
      <c r="F53" s="10"/>
      <c r="G53" s="10"/>
      <c r="H53" s="10"/>
      <c r="I53" s="10"/>
    </row>
    <row r="54" ht="14.25" customHeight="1">
      <c r="A54" s="10"/>
      <c r="B54" s="10"/>
      <c r="C54" s="10"/>
      <c r="D54" s="10"/>
      <c r="E54" s="10"/>
      <c r="F54" s="10"/>
      <c r="G54" s="10"/>
      <c r="H54" s="10"/>
      <c r="I54" s="10"/>
    </row>
    <row r="55" ht="14.25" customHeight="1">
      <c r="A55" s="10"/>
      <c r="B55" s="10"/>
      <c r="C55" s="10"/>
      <c r="D55" s="10"/>
      <c r="E55" s="10"/>
      <c r="F55" s="10"/>
      <c r="G55" s="10"/>
      <c r="H55" s="10"/>
      <c r="I55" s="10"/>
    </row>
    <row r="56" ht="14.25" customHeight="1">
      <c r="A56" s="10"/>
      <c r="B56" s="10"/>
      <c r="C56" s="10"/>
      <c r="D56" s="10"/>
      <c r="E56" s="10"/>
      <c r="F56" s="10"/>
      <c r="G56" s="10"/>
      <c r="H56" s="10"/>
      <c r="I56" s="10"/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A1:I1"/>
    <mergeCell ref="A2:I2"/>
    <mergeCell ref="A3:I3"/>
    <mergeCell ref="A4:I5"/>
    <mergeCell ref="A7:I7"/>
    <mergeCell ref="B8:I8"/>
    <mergeCell ref="B9:I9"/>
    <mergeCell ref="B10:I10"/>
    <mergeCell ref="B11:I11"/>
    <mergeCell ref="B12:I12"/>
    <mergeCell ref="B13:I13"/>
    <mergeCell ref="B14:I14"/>
    <mergeCell ref="B15:I15"/>
    <mergeCell ref="A17:I17"/>
    <mergeCell ref="B51:I51"/>
    <mergeCell ref="B52:I52"/>
    <mergeCell ref="A29:I29"/>
    <mergeCell ref="A31:I31"/>
    <mergeCell ref="A32:I32"/>
    <mergeCell ref="A47:I47"/>
    <mergeCell ref="B48:I48"/>
    <mergeCell ref="B49:I49"/>
    <mergeCell ref="B50:I50"/>
  </mergeCells>
  <dataValidations>
    <dataValidation type="list" allowBlank="1" sqref="A19:A27">
      <formula1>"Bubble Sort,Insertion Sort,Selection Sort,Merge Sort,Quick Sort,Heap Sort"</formula1>
    </dataValidation>
    <dataValidation type="list" allowBlank="1" sqref="B19:B27">
      <formula1>"O(n log n),O(n²)"</formula1>
    </dataValidation>
  </dataValidations>
  <printOptions/>
  <pageMargins bottom="0.75" footer="0.0" header="0.0" left="0.25" right="0.25" top="0.75"/>
  <pageSetup fitToWidth="0"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